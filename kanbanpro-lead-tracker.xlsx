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Prospect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"/>
    <numFmt numFmtId="166" formatCode="0&quot; días&quot;"/>
    <numFmt numFmtId="167" formatCode="&quot;$&quot;#,##0.00"/>
    <numFmt numFmtId="168" formatCode="&quot;0&quot;"/>
    <numFmt numFmtId="169" formatCode="0.0%"/>
  </numFmts>
  <fonts count="27">
    <font>
      <name val="Calibri"/>
      <family val="2"/>
      <color theme="1"/>
      <sz val="11"/>
      <scheme val="minor"/>
    </font>
    <font>
      <b val="1"/>
    </font>
    <font>
      <name val="Arial"/>
      <b val="1"/>
      <color rgb="0000e6c7"/>
      <sz val="14"/>
    </font>
    <font>
      <name val="Arial"/>
      <b val="1"/>
      <color rgb="0000e6c7"/>
      <sz val="9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e6c7"/>
      <sz val="10"/>
    </font>
    <font>
      <name val="Calibri"/>
      <color rgb="00d1d5db"/>
      <sz val="10"/>
    </font>
    <font>
      <name val="Calibri"/>
      <color rgb="00FFFFFF"/>
      <sz val="10"/>
    </font>
    <font>
      <name val="Calibri"/>
      <b val="1"/>
      <color rgb="00FFB800"/>
      <sz val="10"/>
    </font>
    <font>
      <name val="Calibri"/>
      <color rgb="00FFB800"/>
      <sz val="10"/>
    </font>
    <font>
      <name val="Calibri"/>
      <color rgb="009ca3af"/>
      <sz val="10"/>
    </font>
    <font>
      <name val="Arial"/>
      <color rgb="009ca3af"/>
      <sz val="9"/>
    </font>
    <font>
      <name val="Arial"/>
      <b val="1"/>
      <color rgb="00FFB800"/>
      <sz val="16"/>
    </font>
    <font>
      <name val="Arial"/>
      <b val="1"/>
      <color rgb="0000e6c7"/>
      <sz val="11"/>
    </font>
    <font>
      <name val="Calibri"/>
      <b val="1"/>
      <color rgb="00d1d5db"/>
      <sz val="13"/>
    </font>
    <font>
      <name val="Calibri"/>
      <b val="1"/>
      <color rgb="00FFB800"/>
      <sz val="13"/>
    </font>
    <font>
      <name val="Calibri"/>
      <b val="1"/>
      <color rgb="0022c55e"/>
      <sz val="13"/>
    </font>
    <font>
      <name val="Calibri"/>
      <b val="1"/>
      <color rgb="0000e6c7"/>
      <sz val="13"/>
    </font>
    <font>
      <name val="Arial"/>
      <b val="1"/>
      <color rgb="0000e6c7"/>
      <sz val="10"/>
    </font>
    <font>
      <name val="Calibri"/>
      <b val="1"/>
      <color rgb="0000e6c7"/>
      <sz val="11"/>
    </font>
    <font>
      <name val="Calibri"/>
      <b val="1"/>
      <color rgb="00FFB800"/>
      <sz val="11"/>
    </font>
    <font>
      <name val="Arial"/>
      <b val="1"/>
      <color rgb="00FFB800"/>
      <sz val="11"/>
    </font>
    <font>
      <name val="Calibri"/>
      <b val="1"/>
      <color rgb="0000e6c7"/>
      <sz val="12"/>
    </font>
    <font>
      <name val="Calibri"/>
      <b val="1"/>
      <color rgb="00d1d5db"/>
      <sz val="12"/>
    </font>
    <font>
      <name val="Calibri"/>
      <b val="1"/>
      <color rgb="00FFB800"/>
      <sz val="12"/>
    </font>
    <font>
      <name val="Arial"/>
      <i val="1"/>
      <color rgb="0000b8a0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</fills>
  <borders count="4">
    <border>
      <left/>
      <right/>
      <top/>
      <bottom/>
      <diagonal/>
    </border>
    <border>
      <left style="thin">
        <color rgb="0016213e"/>
      </left>
      <right style="thin">
        <color rgb="0016213e"/>
      </right>
      <top style="thin">
        <color rgb="0016213e"/>
      </top>
      <bottom style="thin">
        <color rgb="0016213e"/>
      </bottom>
    </border>
    <border>
      <left style="thin">
        <color rgb="001e2d4a"/>
      </left>
      <right style="thin">
        <color rgb="001e2d4a"/>
      </right>
      <top style="thin">
        <color rgb="001e2d4a"/>
      </top>
      <bottom style="thin">
        <color rgb="001e2d4a"/>
      </bottom>
    </border>
    <border>
      <bottom style="thin">
        <color rgb="0000b8a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165" fontId="6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165" fontId="7" fillId="3" borderId="2" applyAlignment="1" pivotButton="0" quotePrefix="0" xfId="0">
      <alignment horizontal="left" vertical="center" wrapText="1"/>
    </xf>
    <xf numFmtId="165" fontId="10" fillId="3" borderId="2" applyAlignment="1" pivotButton="0" quotePrefix="0" xfId="0">
      <alignment horizontal="left" vertical="center" wrapText="1"/>
    </xf>
    <xf numFmtId="166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167" fontId="7" fillId="3" borderId="2" applyAlignment="1" pivotButton="0" quotePrefix="0" xfId="0">
      <alignment horizontal="center" vertical="center"/>
    </xf>
    <xf numFmtId="1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center" wrapText="1"/>
    </xf>
    <xf numFmtId="165" fontId="6" fillId="2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165" fontId="7" fillId="2" borderId="2" applyAlignment="1" pivotButton="0" quotePrefix="0" xfId="0">
      <alignment horizontal="left" vertical="center" wrapText="1"/>
    </xf>
    <xf numFmtId="165" fontId="10" fillId="2" borderId="2" applyAlignment="1" pivotButton="0" quotePrefix="0" xfId="0">
      <alignment horizontal="left" vertical="center" wrapText="1"/>
    </xf>
    <xf numFmtId="166" fontId="8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 wrapText="1"/>
    </xf>
    <xf numFmtId="167" fontId="7" fillId="2" borderId="2" applyAlignment="1" pivotButton="0" quotePrefix="0" xfId="0">
      <alignment horizontal="center" vertical="center"/>
    </xf>
    <xf numFmtId="167" fontId="10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7" fillId="3" borderId="2" pivotButton="0" quotePrefix="0" xfId="0"/>
    <xf numFmtId="166" fontId="7" fillId="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7" fillId="2" borderId="2" pivotButton="0" quotePrefix="0" xfId="0"/>
    <xf numFmtId="166" fontId="7" fillId="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168" fontId="15" fillId="2" borderId="1" applyAlignment="1" pivotButton="0" quotePrefix="0" xfId="0">
      <alignment horizontal="center" vertical="center"/>
    </xf>
    <xf numFmtId="168" fontId="16" fillId="2" borderId="1" applyAlignment="1" pivotButton="0" quotePrefix="0" xfId="0">
      <alignment horizontal="center" vertical="center"/>
    </xf>
    <xf numFmtId="168" fontId="17" fillId="2" borderId="1" applyAlignment="1" pivotButton="0" quotePrefix="0" xfId="0">
      <alignment horizontal="center" vertical="center"/>
    </xf>
    <xf numFmtId="169" fontId="16" fillId="2" borderId="1" applyAlignment="1" pivotButton="0" quotePrefix="0" xfId="0">
      <alignment horizontal="center" vertical="center"/>
    </xf>
    <xf numFmtId="169" fontId="18" fillId="2" borderId="1" applyAlignment="1" pivotButton="0" quotePrefix="0" xfId="0">
      <alignment horizontal="center" vertical="center"/>
    </xf>
    <xf numFmtId="167" fontId="17" fillId="2" borderId="1" applyAlignment="1" pivotButton="0" quotePrefix="0" xfId="0">
      <alignment horizontal="center" vertical="center"/>
    </xf>
    <xf numFmtId="167" fontId="16" fillId="2" borderId="1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1" fontId="20" fillId="3" borderId="2" applyAlignment="1" pivotButton="0" quotePrefix="0" xfId="0">
      <alignment horizontal="center" vertical="center"/>
    </xf>
    <xf numFmtId="1" fontId="21" fillId="3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left" vertical="center"/>
    </xf>
    <xf numFmtId="1" fontId="20" fillId="2" borderId="2" applyAlignment="1" pivotButton="0" quotePrefix="0" xfId="0">
      <alignment horizontal="center" vertical="center"/>
    </xf>
    <xf numFmtId="1" fontId="21" fillId="2" borderId="2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169" fontId="25" fillId="2" borderId="1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Calibri"/>
        <b val="1"/>
        <color rgb="00ef4444"/>
        <sz val="10"/>
      </font>
      <fill>
        <patternFill patternType="solid">
          <fgColor rgb="007f1d1d"/>
        </patternFill>
      </fill>
    </dxf>
    <dxf>
      <font>
        <name val="Calibri"/>
        <b val="1"/>
        <color rgb="00FBBF24"/>
        <sz val="10"/>
      </font>
      <fill>
        <patternFill patternType="solid">
          <fgColor rgb="0078350f"/>
        </patternFill>
      </fill>
    </dxf>
    <dxf>
      <font>
        <name val="Calibri"/>
        <color rgb="0022c55e"/>
        <sz val="10"/>
      </font>
      <fill>
        <patternFill patternType="solid">
          <fgColor rgb="00166534"/>
        </patternFill>
      </fill>
    </dxf>
    <dxf>
      <font>
        <name val="Calibri"/>
        <b val="1"/>
        <color rgb="0022c55e"/>
        <sz val="10"/>
      </font>
      <fill>
        <patternFill patternType="solid">
          <fgColor rgb="00166534"/>
        </patternFill>
      </fill>
    </dxf>
    <dxf>
      <font>
        <name val="Calibri"/>
        <b val="1"/>
        <color rgb="00fb923c"/>
        <sz val="10"/>
      </font>
      <fill>
        <patternFill patternType="solid">
          <fgColor rgb="007c2d1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Barrio</t>
        </is>
      </c>
      <c r="C1" s="1" t="inlineStr">
        <is>
          <t>Estado</t>
        </is>
      </c>
      <c r="D1" s="1" t="inlineStr">
        <is>
          <t>Material</t>
        </is>
      </c>
      <c r="E1" s="1" t="inlineStr">
        <is>
          <t>Fuente</t>
        </is>
      </c>
    </row>
    <row r="2">
      <c r="A2" t="inlineStr">
        <is>
          <t>Gym</t>
        </is>
      </c>
      <c r="B2" t="inlineStr">
        <is>
          <t>Chapinero</t>
        </is>
      </c>
      <c r="C2" t="inlineStr">
        <is>
          <t>Frio</t>
        </is>
      </c>
      <c r="D2" t="inlineStr">
        <is>
          <t>Nada</t>
        </is>
      </c>
      <c r="E2" t="inlineStr">
        <is>
          <t>Google Maps</t>
        </is>
      </c>
    </row>
    <row r="3">
      <c r="A3" t="inlineStr">
        <is>
          <t>Restaurante</t>
        </is>
      </c>
      <c r="B3" t="inlineStr">
        <is>
          <t>Usaquen</t>
        </is>
      </c>
      <c r="C3" t="inlineStr">
        <is>
          <t>Tibio</t>
        </is>
      </c>
      <c r="D3" t="inlineStr">
        <is>
          <t>One-Pager</t>
        </is>
      </c>
      <c r="E3" t="inlineStr">
        <is>
          <t>Referido</t>
        </is>
      </c>
    </row>
    <row r="4">
      <c r="A4" t="inlineStr">
        <is>
          <t>Clinica</t>
        </is>
      </c>
      <c r="B4" t="inlineStr">
        <is>
          <t>Suba</t>
        </is>
      </c>
      <c r="C4" t="inlineStr">
        <is>
          <t>Caliente</t>
        </is>
      </c>
      <c r="D4" t="inlineStr">
        <is>
          <t>Deck</t>
        </is>
      </c>
      <c r="E4" t="inlineStr">
        <is>
          <t>Instagram</t>
        </is>
      </c>
    </row>
    <row r="5">
      <c r="A5" t="inlineStr">
        <is>
          <t>Spa</t>
        </is>
      </c>
      <c r="B5" t="inlineStr">
        <is>
          <t>Engativa</t>
        </is>
      </c>
      <c r="C5" t="inlineStr">
        <is>
          <t>Compro</t>
        </is>
      </c>
      <c r="D5" t="inlineStr">
        <is>
          <t>One-Pager + Deck</t>
        </is>
      </c>
      <c r="E5" t="inlineStr">
        <is>
          <t>LinkedIn</t>
        </is>
      </c>
    </row>
    <row r="6">
      <c r="A6" t="inlineStr">
        <is>
          <t>Academia</t>
        </is>
      </c>
      <c r="B6" t="inlineStr">
        <is>
          <t>Kennnedy</t>
        </is>
      </c>
      <c r="C6" t="inlineStr">
        <is>
          <t>Descartado</t>
        </is>
      </c>
      <c r="D6" t="inlineStr">
        <is>
          <t>Solo mensaje</t>
        </is>
      </c>
      <c r="E6" t="inlineStr">
        <is>
          <t>Otro</t>
        </is>
      </c>
    </row>
    <row r="7">
      <c r="A7" t="inlineStr">
        <is>
          <t>Otro</t>
        </is>
      </c>
      <c r="B7" t="inlineStr">
        <is>
          <t>Santa Fe</t>
        </is>
      </c>
      <c r="C7" t="inlineStr">
        <is>
          <t>Sin respuesta</t>
        </is>
      </c>
    </row>
    <row r="8">
      <c r="B8" t="inlineStr">
        <is>
          <t>Teusaquillo</t>
        </is>
      </c>
    </row>
    <row r="9">
      <c r="B9" t="inlineStr">
        <is>
          <t>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e6c7"/>
    <outlinePr summaryBelow="1" summaryRight="1"/>
    <pageSetUpPr/>
  </sheetPr>
  <dimension ref="A1:O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28" customWidth="1" min="14" max="14"/>
    <col width="12" customWidth="1" min="15" max="15"/>
  </cols>
  <sheetData>
    <row r="1" ht="32" customHeight="1">
      <c r="A1" s="2" t="inlineStr">
        <is>
          <t>KanbanPro — Tracker de Prospectos</t>
        </is>
      </c>
    </row>
    <row r="2" ht="26" customHeight="1">
      <c r="A2" s="3" t="inlineStr">
        <is>
          <t>#</t>
        </is>
      </c>
      <c r="B2" s="3" t="inlineStr">
        <is>
          <t>Negocio</t>
        </is>
      </c>
      <c r="C2" s="3" t="inlineStr">
        <is>
          <t>Tipo</t>
        </is>
      </c>
      <c r="D2" s="3" t="inlineStr">
        <is>
          <t>Barrio</t>
        </is>
      </c>
      <c r="E2" s="3" t="inlineStr">
        <is>
          <t>Contacto</t>
        </is>
      </c>
      <c r="F2" s="3" t="inlineStr">
        <is>
          <t>WhatsApp</t>
        </is>
      </c>
      <c r="G2" s="3" t="inlineStr">
        <is>
          <t>Fuente</t>
        </is>
      </c>
      <c r="H2" s="3" t="inlineStr">
        <is>
          <t>1er Contacto</t>
        </is>
      </c>
      <c r="I2" s="3" t="inlineStr">
        <is>
          <t>Material Env.</t>
        </is>
      </c>
      <c r="J2" s="3" t="inlineStr">
        <is>
          <t>Estado</t>
        </is>
      </c>
      <c r="K2" s="3" t="inlineStr">
        <is>
          <t>Ult. Contacto</t>
        </is>
      </c>
      <c r="L2" s="3" t="inlineStr">
        <is>
          <t>Prox. Follow-up</t>
        </is>
      </c>
      <c r="M2" s="3" t="inlineStr">
        <is>
          <t>Dias Restantes</t>
        </is>
      </c>
      <c r="N2" s="3" t="inlineStr">
        <is>
          <t>Notas</t>
        </is>
      </c>
      <c r="O2" s="3" t="inlineStr">
        <is>
          <t>Ingreso USD</t>
        </is>
      </c>
    </row>
    <row r="3" ht="22" customHeight="1">
      <c r="A3" s="4" t="n">
        <v>1</v>
      </c>
      <c r="B3" s="5" t="inlineStr">
        <is>
          <t>CrossFit Norte</t>
        </is>
      </c>
      <c r="C3" s="6" t="inlineStr">
        <is>
          <t>Gym</t>
        </is>
      </c>
      <c r="D3" s="7" t="inlineStr">
        <is>
          <t>Chapinero</t>
        </is>
      </c>
      <c r="E3" s="8" t="inlineStr">
        <is>
          <t>Carlos M.</t>
        </is>
      </c>
      <c r="F3" s="7" t="inlineStr">
        <is>
          <t>321 555 0011</t>
        </is>
      </c>
      <c r="G3" s="7" t="inlineStr">
        <is>
          <t>Google Maps</t>
        </is>
      </c>
      <c r="H3" s="9" t="n">
        <v>46088</v>
      </c>
      <c r="I3" s="7" t="inlineStr">
        <is>
          <t>One-Pager</t>
        </is>
      </c>
      <c r="J3" s="10" t="inlineStr">
        <is>
          <t>Tibio</t>
        </is>
      </c>
      <c r="K3" s="11" t="n">
        <v>46090</v>
      </c>
      <c r="L3" s="12" t="n">
        <v>46092</v>
      </c>
      <c r="M3" s="13">
        <f>L3-TODAY()</f>
        <v/>
      </c>
      <c r="N3" s="14" t="inlineStr"/>
      <c r="O3" s="15">
        <f>IF(J3="Compro",22,0)</f>
        <v/>
      </c>
    </row>
    <row r="4" ht="22" customHeight="1">
      <c r="A4" s="16" t="n">
        <v>2</v>
      </c>
      <c r="B4" s="17" t="inlineStr">
        <is>
          <t>Iron Gym</t>
        </is>
      </c>
      <c r="C4" s="18" t="inlineStr">
        <is>
          <t>Gym</t>
        </is>
      </c>
      <c r="D4" s="19" t="inlineStr">
        <is>
          <t>Usaquen</t>
        </is>
      </c>
      <c r="E4" s="20" t="inlineStr">
        <is>
          <t>Sandra R.</t>
        </is>
      </c>
      <c r="F4" s="19" t="inlineStr">
        <is>
          <t>312 444 0099</t>
        </is>
      </c>
      <c r="G4" s="19" t="inlineStr">
        <is>
          <t>Google Maps</t>
        </is>
      </c>
      <c r="H4" s="21" t="n">
        <v>46086</v>
      </c>
      <c r="I4" s="19" t="inlineStr">
        <is>
          <t>One-Pager + Deck</t>
        </is>
      </c>
      <c r="J4" s="22" t="inlineStr">
        <is>
          <t>Caliente</t>
        </is>
      </c>
      <c r="K4" s="23" t="n">
        <v>46089</v>
      </c>
      <c r="L4" s="24" t="n">
        <v>46091</v>
      </c>
      <c r="M4" s="25">
        <f>L4-TODAY()</f>
        <v/>
      </c>
      <c r="N4" s="26" t="inlineStr"/>
      <c r="O4" s="27">
        <f>IF(J4="Compro",22,0)</f>
        <v/>
      </c>
    </row>
    <row r="5" ht="22" customHeight="1">
      <c r="A5" s="4" t="n">
        <v>3</v>
      </c>
      <c r="B5" s="5" t="inlineStr">
        <is>
          <t>FitLife Studio</t>
        </is>
      </c>
      <c r="C5" s="6" t="inlineStr">
        <is>
          <t>Gym</t>
        </is>
      </c>
      <c r="D5" s="7" t="inlineStr">
        <is>
          <t>Suba</t>
        </is>
      </c>
      <c r="E5" s="8" t="inlineStr">
        <is>
          <t>Diego L.</t>
        </is>
      </c>
      <c r="F5" s="7" t="inlineStr">
        <is>
          <t>310 777 0033</t>
        </is>
      </c>
      <c r="G5" s="7" t="inlineStr">
        <is>
          <t>Google Maps</t>
        </is>
      </c>
      <c r="H5" s="9" t="n">
        <v>46084</v>
      </c>
      <c r="I5" s="7" t="inlineStr">
        <is>
          <t>Nada</t>
        </is>
      </c>
      <c r="J5" s="10" t="inlineStr">
        <is>
          <t>Frio</t>
        </is>
      </c>
      <c r="K5" s="11" t="n">
        <v>46084</v>
      </c>
      <c r="L5" s="12" t="n">
        <v>46094</v>
      </c>
      <c r="M5" s="13">
        <f>L5-TODAY()</f>
        <v/>
      </c>
      <c r="N5" s="14" t="inlineStr"/>
      <c r="O5" s="15">
        <f>IF(J5="Compro",22,0)</f>
        <v/>
      </c>
    </row>
    <row r="6" ht="22" customHeight="1">
      <c r="A6" s="16" t="n">
        <v>4</v>
      </c>
      <c r="B6" s="17" t="inlineStr">
        <is>
          <t>Muscle Zone</t>
        </is>
      </c>
      <c r="C6" s="18" t="inlineStr">
        <is>
          <t>Gym</t>
        </is>
      </c>
      <c r="D6" s="19" t="inlineStr">
        <is>
          <t>Chapinero</t>
        </is>
      </c>
      <c r="E6" s="20" t="inlineStr">
        <is>
          <t>Maria F.</t>
        </is>
      </c>
      <c r="F6" s="19" t="inlineStr">
        <is>
          <t>315 888 0044</t>
        </is>
      </c>
      <c r="G6" s="19" t="inlineStr">
        <is>
          <t>Referido</t>
        </is>
      </c>
      <c r="H6" s="21" t="n">
        <v>46089</v>
      </c>
      <c r="I6" s="19" t="inlineStr">
        <is>
          <t>Solo mensaje</t>
        </is>
      </c>
      <c r="J6" s="22" t="inlineStr">
        <is>
          <t>Sin respuesta</t>
        </is>
      </c>
      <c r="K6" s="23" t="n">
        <v>46089</v>
      </c>
      <c r="L6" s="24" t="n">
        <v>46093</v>
      </c>
      <c r="M6" s="25">
        <f>L6-TODAY()</f>
        <v/>
      </c>
      <c r="N6" s="26" t="inlineStr"/>
      <c r="O6" s="27">
        <f>IF(J6="Compro",22,0)</f>
        <v/>
      </c>
    </row>
    <row r="7" ht="22" customHeight="1">
      <c r="A7" s="4" t="n">
        <v>5</v>
      </c>
      <c r="B7" s="5" t="inlineStr">
        <is>
          <t>PowerHouse GYM</t>
        </is>
      </c>
      <c r="C7" s="6" t="inlineStr">
        <is>
          <t>Gym</t>
        </is>
      </c>
      <c r="D7" s="7" t="inlineStr">
        <is>
          <t>Usaquen</t>
        </is>
      </c>
      <c r="E7" s="8" t="inlineStr">
        <is>
          <t>Juan P.</t>
        </is>
      </c>
      <c r="F7" s="7" t="inlineStr">
        <is>
          <t>318 999 0055</t>
        </is>
      </c>
      <c r="G7" s="7" t="inlineStr">
        <is>
          <t>Google Maps</t>
        </is>
      </c>
      <c r="H7" s="9" t="n">
        <v>46090</v>
      </c>
      <c r="I7" s="7" t="inlineStr">
        <is>
          <t>One-Pager</t>
        </is>
      </c>
      <c r="J7" s="10" t="inlineStr">
        <is>
          <t>Compro</t>
        </is>
      </c>
      <c r="K7" s="11" t="n">
        <v>46091</v>
      </c>
      <c r="L7" s="12" t="n">
        <v>46121</v>
      </c>
      <c r="M7" s="13">
        <f>L7-TODAY()</f>
        <v/>
      </c>
      <c r="N7" s="14" t="inlineStr"/>
      <c r="O7" s="28">
        <f>IF(J7="Compro",22,0)</f>
        <v/>
      </c>
    </row>
    <row r="8" ht="21" customHeight="1">
      <c r="A8" s="29" t="n">
        <v>6</v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1">
        <f>IF(L8="","",L8-TODAY())</f>
        <v/>
      </c>
      <c r="N8" s="30" t="n"/>
      <c r="O8" s="15">
        <f>IF(J8="Compro",22,0)</f>
        <v/>
      </c>
    </row>
    <row r="9" ht="21" customHeight="1">
      <c r="A9" s="32" t="n">
        <v>7</v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4">
        <f>IF(L9="","",L9-TODAY())</f>
        <v/>
      </c>
      <c r="N9" s="33" t="n"/>
      <c r="O9" s="27">
        <f>IF(J9="Compro",22,0)</f>
        <v/>
      </c>
    </row>
    <row r="10" ht="21" customHeight="1">
      <c r="A10" s="29" t="n">
        <v>8</v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1">
        <f>IF(L10="","",L10-TODAY())</f>
        <v/>
      </c>
      <c r="N10" s="30" t="n"/>
      <c r="O10" s="15">
        <f>IF(J10="Compro",22,0)</f>
        <v/>
      </c>
    </row>
    <row r="11" ht="21" customHeight="1">
      <c r="A11" s="32" t="n">
        <v>9</v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4">
        <f>IF(L11="","",L11-TODAY())</f>
        <v/>
      </c>
      <c r="N11" s="33" t="n"/>
      <c r="O11" s="27">
        <f>IF(J11="Compro",22,0)</f>
        <v/>
      </c>
    </row>
    <row r="12" ht="21" customHeight="1">
      <c r="A12" s="29" t="n">
        <v>10</v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1">
        <f>IF(L12="","",L12-TODAY())</f>
        <v/>
      </c>
      <c r="N12" s="30" t="n"/>
      <c r="O12" s="15">
        <f>IF(J12="Compro",22,0)</f>
        <v/>
      </c>
    </row>
    <row r="13" ht="21" customHeight="1">
      <c r="A13" s="32" t="n">
        <v>11</v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4">
        <f>IF(L13="","",L13-TODAY())</f>
        <v/>
      </c>
      <c r="N13" s="33" t="n"/>
      <c r="O13" s="27">
        <f>IF(J13="Compro",22,0)</f>
        <v/>
      </c>
    </row>
    <row r="14" ht="21" customHeight="1">
      <c r="A14" s="29" t="n">
        <v>12</v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1">
        <f>IF(L14="","",L14-TODAY())</f>
        <v/>
      </c>
      <c r="N14" s="30" t="n"/>
      <c r="O14" s="15">
        <f>IF(J14="Compro",22,0)</f>
        <v/>
      </c>
    </row>
    <row r="15" ht="21" customHeight="1">
      <c r="A15" s="32" t="n">
        <v>13</v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4">
        <f>IF(L15="","",L15-TODAY())</f>
        <v/>
      </c>
      <c r="N15" s="33" t="n"/>
      <c r="O15" s="27">
        <f>IF(J15="Compro",22,0)</f>
        <v/>
      </c>
    </row>
    <row r="16" ht="21" customHeight="1">
      <c r="A16" s="29" t="n">
        <v>14</v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1">
        <f>IF(L16="","",L16-TODAY())</f>
        <v/>
      </c>
      <c r="N16" s="30" t="n"/>
      <c r="O16" s="15">
        <f>IF(J16="Compro",22,0)</f>
        <v/>
      </c>
    </row>
    <row r="17" ht="21" customHeight="1">
      <c r="A17" s="32" t="n">
        <v>15</v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4">
        <f>IF(L17="","",L17-TODAY())</f>
        <v/>
      </c>
      <c r="N17" s="33" t="n"/>
      <c r="O17" s="27">
        <f>IF(J17="Compro",22,0)</f>
        <v/>
      </c>
    </row>
    <row r="18" ht="21" customHeight="1">
      <c r="A18" s="29" t="n">
        <v>16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1">
        <f>IF(L18="","",L18-TODAY())</f>
        <v/>
      </c>
      <c r="N18" s="30" t="n"/>
      <c r="O18" s="15">
        <f>IF(J18="Compro",22,0)</f>
        <v/>
      </c>
    </row>
    <row r="19" ht="21" customHeight="1">
      <c r="A19" s="32" t="n">
        <v>17</v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4">
        <f>IF(L19="","",L19-TODAY())</f>
        <v/>
      </c>
      <c r="N19" s="33" t="n"/>
      <c r="O19" s="27">
        <f>IF(J19="Compro",22,0)</f>
        <v/>
      </c>
    </row>
    <row r="20" ht="21" customHeight="1">
      <c r="A20" s="29" t="n">
        <v>18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1">
        <f>IF(L20="","",L20-TODAY())</f>
        <v/>
      </c>
      <c r="N20" s="30" t="n"/>
      <c r="O20" s="15">
        <f>IF(J20="Compro",22,0)</f>
        <v/>
      </c>
    </row>
    <row r="21" ht="21" customHeight="1">
      <c r="A21" s="32" t="n">
        <v>19</v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4">
        <f>IF(L21="","",L21-TODAY())</f>
        <v/>
      </c>
      <c r="N21" s="33" t="n"/>
      <c r="O21" s="27">
        <f>IF(J21="Compro",22,0)</f>
        <v/>
      </c>
    </row>
    <row r="22" ht="21" customHeight="1">
      <c r="A22" s="29" t="n">
        <v>20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1">
        <f>IF(L22="","",L22-TODAY())</f>
        <v/>
      </c>
      <c r="N22" s="30" t="n"/>
      <c r="O22" s="15">
        <f>IF(J22="Compro",22,0)</f>
        <v/>
      </c>
    </row>
    <row r="23" ht="21" customHeight="1">
      <c r="A23" s="32" t="n">
        <v>21</v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4">
        <f>IF(L23="","",L23-TODAY())</f>
        <v/>
      </c>
      <c r="N23" s="33" t="n"/>
      <c r="O23" s="27">
        <f>IF(J23="Compro",22,0)</f>
        <v/>
      </c>
    </row>
    <row r="24" ht="21" customHeight="1">
      <c r="A24" s="29" t="n">
        <v>22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1">
        <f>IF(L24="","",L24-TODAY())</f>
        <v/>
      </c>
      <c r="N24" s="30" t="n"/>
      <c r="O24" s="15">
        <f>IF(J24="Compro",22,0)</f>
        <v/>
      </c>
    </row>
    <row r="25" ht="21" customHeight="1">
      <c r="A25" s="32" t="n">
        <v>23</v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4">
        <f>IF(L25="","",L25-TODAY())</f>
        <v/>
      </c>
      <c r="N25" s="33" t="n"/>
      <c r="O25" s="27">
        <f>IF(J25="Compro",22,0)</f>
        <v/>
      </c>
    </row>
    <row r="26" ht="21" customHeight="1">
      <c r="A26" s="29" t="n">
        <v>24</v>
      </c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1">
        <f>IF(L26="","",L26-TODAY())</f>
        <v/>
      </c>
      <c r="N26" s="30" t="n"/>
      <c r="O26" s="15">
        <f>IF(J26="Compro",22,0)</f>
        <v/>
      </c>
    </row>
    <row r="27" ht="21" customHeight="1">
      <c r="A27" s="32" t="n">
        <v>25</v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4">
        <f>IF(L27="","",L27-TODAY())</f>
        <v/>
      </c>
      <c r="N27" s="33" t="n"/>
      <c r="O27" s="27">
        <f>IF(J27="Compro",22,0)</f>
        <v/>
      </c>
    </row>
    <row r="28" ht="21" customHeight="1">
      <c r="A28" s="29" t="n">
        <v>26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1">
        <f>IF(L28="","",L28-TODAY())</f>
        <v/>
      </c>
      <c r="N28" s="30" t="n"/>
      <c r="O28" s="15">
        <f>IF(J28="Compro",22,0)</f>
        <v/>
      </c>
    </row>
    <row r="29" ht="21" customHeight="1">
      <c r="A29" s="32" t="n">
        <v>27</v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4">
        <f>IF(L29="","",L29-TODAY())</f>
        <v/>
      </c>
      <c r="N29" s="33" t="n"/>
      <c r="O29" s="27">
        <f>IF(J29="Compro",22,0)</f>
        <v/>
      </c>
    </row>
    <row r="30" ht="21" customHeight="1">
      <c r="A30" s="29" t="n">
        <v>28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1">
        <f>IF(L30="","",L30-TODAY())</f>
        <v/>
      </c>
      <c r="N30" s="30" t="n"/>
      <c r="O30" s="15">
        <f>IF(J30="Compro",22,0)</f>
        <v/>
      </c>
    </row>
    <row r="31" ht="21" customHeight="1">
      <c r="A31" s="32" t="n">
        <v>29</v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4">
        <f>IF(L31="","",L31-TODAY())</f>
        <v/>
      </c>
      <c r="N31" s="33" t="n"/>
      <c r="O31" s="27">
        <f>IF(J31="Compro",22,0)</f>
        <v/>
      </c>
    </row>
    <row r="32" ht="21" customHeight="1">
      <c r="A32" s="29" t="n">
        <v>30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1">
        <f>IF(L32="","",L32-TODAY())</f>
        <v/>
      </c>
      <c r="N32" s="30" t="n"/>
      <c r="O32" s="15">
        <f>IF(J32="Compro",22,0)</f>
        <v/>
      </c>
    </row>
    <row r="33" ht="21" customHeight="1">
      <c r="A33" s="32" t="n">
        <v>31</v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4">
        <f>IF(L33="","",L33-TODAY())</f>
        <v/>
      </c>
      <c r="N33" s="33" t="n"/>
      <c r="O33" s="27">
        <f>IF(J33="Compro",22,0)</f>
        <v/>
      </c>
    </row>
    <row r="34" ht="21" customHeight="1">
      <c r="A34" s="29" t="n">
        <v>32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1">
        <f>IF(L34="","",L34-TODAY())</f>
        <v/>
      </c>
      <c r="N34" s="30" t="n"/>
      <c r="O34" s="15">
        <f>IF(J34="Compro",22,0)</f>
        <v/>
      </c>
    </row>
    <row r="35" ht="21" customHeight="1">
      <c r="A35" s="32" t="n">
        <v>33</v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4">
        <f>IF(L35="","",L35-TODAY())</f>
        <v/>
      </c>
      <c r="N35" s="33" t="n"/>
      <c r="O35" s="27">
        <f>IF(J35="Compro",22,0)</f>
        <v/>
      </c>
    </row>
    <row r="36" ht="21" customHeight="1">
      <c r="A36" s="29" t="n">
        <v>34</v>
      </c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1">
        <f>IF(L36="","",L36-TODAY())</f>
        <v/>
      </c>
      <c r="N36" s="30" t="n"/>
      <c r="O36" s="15">
        <f>IF(J36="Compro",22,0)</f>
        <v/>
      </c>
    </row>
    <row r="37" ht="21" customHeight="1">
      <c r="A37" s="32" t="n">
        <v>35</v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4">
        <f>IF(L37="","",L37-TODAY())</f>
        <v/>
      </c>
      <c r="N37" s="33" t="n"/>
      <c r="O37" s="27">
        <f>IF(J37="Compro",22,0)</f>
        <v/>
      </c>
    </row>
    <row r="38" ht="21" customHeight="1">
      <c r="A38" s="29" t="n">
        <v>36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1">
        <f>IF(L38="","",L38-TODAY())</f>
        <v/>
      </c>
      <c r="N38" s="30" t="n"/>
      <c r="O38" s="15">
        <f>IF(J38="Compro",22,0)</f>
        <v/>
      </c>
    </row>
    <row r="39" ht="21" customHeight="1">
      <c r="A39" s="32" t="n">
        <v>37</v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4">
        <f>IF(L39="","",L39-TODAY())</f>
        <v/>
      </c>
      <c r="N39" s="33" t="n"/>
      <c r="O39" s="27">
        <f>IF(J39="Compro",22,0)</f>
        <v/>
      </c>
    </row>
    <row r="40" ht="21" customHeight="1">
      <c r="A40" s="29" t="n">
        <v>38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1">
        <f>IF(L40="","",L40-TODAY())</f>
        <v/>
      </c>
      <c r="N40" s="30" t="n"/>
      <c r="O40" s="15">
        <f>IF(J40="Compro",22,0)</f>
        <v/>
      </c>
    </row>
    <row r="41" ht="21" customHeight="1">
      <c r="A41" s="32" t="n">
        <v>39</v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4">
        <f>IF(L41="","",L41-TODAY())</f>
        <v/>
      </c>
      <c r="N41" s="33" t="n"/>
      <c r="O41" s="27">
        <f>IF(J41="Compro",22,0)</f>
        <v/>
      </c>
    </row>
    <row r="42" ht="21" customHeight="1">
      <c r="A42" s="29" t="n">
        <v>40</v>
      </c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1">
        <f>IF(L42="","",L42-TODAY())</f>
        <v/>
      </c>
      <c r="N42" s="30" t="n"/>
      <c r="O42" s="15">
        <f>IF(J42="Compro",22,0)</f>
        <v/>
      </c>
    </row>
    <row r="43" ht="21" customHeight="1">
      <c r="A43" s="32" t="n">
        <v>41</v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4">
        <f>IF(L43="","",L43-TODAY())</f>
        <v/>
      </c>
      <c r="N43" s="33" t="n"/>
      <c r="O43" s="27">
        <f>IF(J43="Compro",22,0)</f>
        <v/>
      </c>
    </row>
    <row r="44" ht="21" customHeight="1">
      <c r="A44" s="29" t="n">
        <v>42</v>
      </c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1">
        <f>IF(L44="","",L44-TODAY())</f>
        <v/>
      </c>
      <c r="N44" s="30" t="n"/>
      <c r="O44" s="15">
        <f>IF(J44="Compro",22,0)</f>
        <v/>
      </c>
    </row>
    <row r="45" ht="21" customHeight="1">
      <c r="A45" s="32" t="n">
        <v>43</v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4">
        <f>IF(L45="","",L45-TODAY())</f>
        <v/>
      </c>
      <c r="N45" s="33" t="n"/>
      <c r="O45" s="27">
        <f>IF(J45="Compro",22,0)</f>
        <v/>
      </c>
    </row>
    <row r="46" ht="21" customHeight="1">
      <c r="A46" s="29" t="n">
        <v>44</v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1">
        <f>IF(L46="","",L46-TODAY())</f>
        <v/>
      </c>
      <c r="N46" s="30" t="n"/>
      <c r="O46" s="15">
        <f>IF(J46="Compro",22,0)</f>
        <v/>
      </c>
    </row>
    <row r="47" ht="21" customHeight="1">
      <c r="A47" s="32" t="n">
        <v>45</v>
      </c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4">
        <f>IF(L47="","",L47-TODAY())</f>
        <v/>
      </c>
      <c r="N47" s="33" t="n"/>
      <c r="O47" s="27">
        <f>IF(J47="Compro",22,0)</f>
        <v/>
      </c>
    </row>
    <row r="48" ht="21" customHeight="1">
      <c r="A48" s="29" t="n">
        <v>46</v>
      </c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1">
        <f>IF(L48="","",L48-TODAY())</f>
        <v/>
      </c>
      <c r="N48" s="30" t="n"/>
      <c r="O48" s="15">
        <f>IF(J48="Compro",22,0)</f>
        <v/>
      </c>
    </row>
    <row r="49" ht="21" customHeight="1">
      <c r="A49" s="32" t="n">
        <v>47</v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4">
        <f>IF(L49="","",L49-TODAY())</f>
        <v/>
      </c>
      <c r="N49" s="33" t="n"/>
      <c r="O49" s="27">
        <f>IF(J49="Compro",22,0)</f>
        <v/>
      </c>
    </row>
    <row r="50" ht="21" customHeight="1">
      <c r="A50" s="29" t="n">
        <v>48</v>
      </c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1">
        <f>IF(L50="","",L50-TODAY())</f>
        <v/>
      </c>
      <c r="N50" s="30" t="n"/>
      <c r="O50" s="15">
        <f>IF(J50="Compro",22,0)</f>
        <v/>
      </c>
    </row>
    <row r="51" ht="21" customHeight="1">
      <c r="A51" s="32" t="n">
        <v>49</v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4">
        <f>IF(L51="","",L51-TODAY())</f>
        <v/>
      </c>
      <c r="N51" s="33" t="n"/>
      <c r="O51" s="27">
        <f>IF(J51="Compro",22,0)</f>
        <v/>
      </c>
    </row>
    <row r="52" ht="21" customHeight="1">
      <c r="A52" s="29" t="n">
        <v>50</v>
      </c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1">
        <f>IF(L52="","",L52-TODAY())</f>
        <v/>
      </c>
      <c r="N52" s="30" t="n"/>
      <c r="O52" s="15">
        <f>IF(J52="Compro",22,0)</f>
        <v/>
      </c>
    </row>
    <row r="53" ht="21" customHeight="1">
      <c r="A53" s="32" t="n">
        <v>51</v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4">
        <f>IF(L53="","",L53-TODAY())</f>
        <v/>
      </c>
      <c r="N53" s="33" t="n"/>
      <c r="O53" s="27">
        <f>IF(J53="Compro",22,0)</f>
        <v/>
      </c>
    </row>
    <row r="54" ht="21" customHeight="1">
      <c r="A54" s="29" t="n">
        <v>52</v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1">
        <f>IF(L54="","",L54-TODAY())</f>
        <v/>
      </c>
      <c r="N54" s="30" t="n"/>
      <c r="O54" s="15">
        <f>IF(J54="Compro",22,0)</f>
        <v/>
      </c>
    </row>
    <row r="55" ht="21" customHeight="1">
      <c r="A55" s="32" t="n">
        <v>53</v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4">
        <f>IF(L55="","",L55-TODAY())</f>
        <v/>
      </c>
      <c r="N55" s="33" t="n"/>
      <c r="O55" s="27">
        <f>IF(J55="Compro",22,0)</f>
        <v/>
      </c>
    </row>
    <row r="56" ht="21" customHeight="1">
      <c r="A56" s="29" t="n">
        <v>54</v>
      </c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1">
        <f>IF(L56="","",L56-TODAY())</f>
        <v/>
      </c>
      <c r="N56" s="30" t="n"/>
      <c r="O56" s="15">
        <f>IF(J56="Compro",22,0)</f>
        <v/>
      </c>
    </row>
    <row r="57" ht="21" customHeight="1">
      <c r="A57" s="32" t="n">
        <v>55</v>
      </c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4">
        <f>IF(L57="","",L57-TODAY())</f>
        <v/>
      </c>
      <c r="N57" s="33" t="n"/>
      <c r="O57" s="27">
        <f>IF(J57="Compro",22,0)</f>
        <v/>
      </c>
    </row>
    <row r="58" ht="21" customHeight="1">
      <c r="A58" s="29" t="n">
        <v>56</v>
      </c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1">
        <f>IF(L58="","",L58-TODAY())</f>
        <v/>
      </c>
      <c r="N58" s="30" t="n"/>
      <c r="O58" s="15">
        <f>IF(J58="Compro",22,0)</f>
        <v/>
      </c>
    </row>
    <row r="59" ht="21" customHeight="1">
      <c r="A59" s="32" t="n">
        <v>57</v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4">
        <f>IF(L59="","",L59-TODAY())</f>
        <v/>
      </c>
      <c r="N59" s="33" t="n"/>
      <c r="O59" s="27">
        <f>IF(J59="Compro",22,0)</f>
        <v/>
      </c>
    </row>
    <row r="60" ht="21" customHeight="1">
      <c r="A60" s="29" t="n">
        <v>58</v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1">
        <f>IF(L60="","",L60-TODAY())</f>
        <v/>
      </c>
      <c r="N60" s="30" t="n"/>
      <c r="O60" s="15">
        <f>IF(J60="Compro",22,0)</f>
        <v/>
      </c>
    </row>
    <row r="61" ht="21" customHeight="1">
      <c r="A61" s="32" t="n">
        <v>59</v>
      </c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4">
        <f>IF(L61="","",L61-TODAY())</f>
        <v/>
      </c>
      <c r="N61" s="33" t="n"/>
      <c r="O61" s="27">
        <f>IF(J61="Compro",22,0)</f>
        <v/>
      </c>
    </row>
    <row r="62" ht="21" customHeight="1">
      <c r="A62" s="29" t="n">
        <v>60</v>
      </c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1">
        <f>IF(L62="","",L62-TODAY())</f>
        <v/>
      </c>
      <c r="N62" s="30" t="n"/>
      <c r="O62" s="15">
        <f>IF(J62="Compro",22,0)</f>
        <v/>
      </c>
    </row>
    <row r="63" ht="21" customHeight="1">
      <c r="A63" s="32" t="n">
        <v>61</v>
      </c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4">
        <f>IF(L63="","",L63-TODAY())</f>
        <v/>
      </c>
      <c r="N63" s="33" t="n"/>
      <c r="O63" s="27">
        <f>IF(J63="Compro",22,0)</f>
        <v/>
      </c>
    </row>
    <row r="64" ht="21" customHeight="1">
      <c r="A64" s="29" t="n">
        <v>62</v>
      </c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1">
        <f>IF(L64="","",L64-TODAY())</f>
        <v/>
      </c>
      <c r="N64" s="30" t="n"/>
      <c r="O64" s="15">
        <f>IF(J64="Compro",22,0)</f>
        <v/>
      </c>
    </row>
    <row r="65" ht="21" customHeight="1">
      <c r="A65" s="32" t="n">
        <v>63</v>
      </c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4">
        <f>IF(L65="","",L65-TODAY())</f>
        <v/>
      </c>
      <c r="N65" s="33" t="n"/>
      <c r="O65" s="27">
        <f>IF(J65="Compro",22,0)</f>
        <v/>
      </c>
    </row>
    <row r="66" ht="21" customHeight="1">
      <c r="A66" s="29" t="n">
        <v>64</v>
      </c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1">
        <f>IF(L66="","",L66-TODAY())</f>
        <v/>
      </c>
      <c r="N66" s="30" t="n"/>
      <c r="O66" s="15">
        <f>IF(J66="Compro",22,0)</f>
        <v/>
      </c>
    </row>
    <row r="67" ht="21" customHeight="1">
      <c r="A67" s="32" t="n">
        <v>65</v>
      </c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4">
        <f>IF(L67="","",L67-TODAY())</f>
        <v/>
      </c>
      <c r="N67" s="33" t="n"/>
      <c r="O67" s="27">
        <f>IF(J67="Compro",22,0)</f>
        <v/>
      </c>
    </row>
    <row r="68" ht="21" customHeight="1">
      <c r="A68" s="29" t="n">
        <v>66</v>
      </c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1">
        <f>IF(L68="","",L68-TODAY())</f>
        <v/>
      </c>
      <c r="N68" s="30" t="n"/>
      <c r="O68" s="15">
        <f>IF(J68="Compro",22,0)</f>
        <v/>
      </c>
    </row>
    <row r="69" ht="21" customHeight="1">
      <c r="A69" s="32" t="n">
        <v>67</v>
      </c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4">
        <f>IF(L69="","",L69-TODAY())</f>
        <v/>
      </c>
      <c r="N69" s="33" t="n"/>
      <c r="O69" s="27">
        <f>IF(J69="Compro",22,0)</f>
        <v/>
      </c>
    </row>
    <row r="70" ht="21" customHeight="1">
      <c r="A70" s="29" t="n">
        <v>68</v>
      </c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1">
        <f>IF(L70="","",L70-TODAY())</f>
        <v/>
      </c>
      <c r="N70" s="30" t="n"/>
      <c r="O70" s="15">
        <f>IF(J70="Compro",22,0)</f>
        <v/>
      </c>
    </row>
    <row r="71" ht="21" customHeight="1">
      <c r="A71" s="32" t="n">
        <v>69</v>
      </c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>
        <f>IF(L71="","",L71-TODAY())</f>
        <v/>
      </c>
      <c r="N71" s="33" t="n"/>
      <c r="O71" s="27">
        <f>IF(J71="Compro",22,0)</f>
        <v/>
      </c>
    </row>
    <row r="72" ht="21" customHeight="1">
      <c r="A72" s="29" t="n">
        <v>70</v>
      </c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1">
        <f>IF(L72="","",L72-TODAY())</f>
        <v/>
      </c>
      <c r="N72" s="30" t="n"/>
      <c r="O72" s="15">
        <f>IF(J72="Compro",22,0)</f>
        <v/>
      </c>
    </row>
    <row r="73" ht="21" customHeight="1">
      <c r="A73" s="32" t="n">
        <v>71</v>
      </c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>
        <f>IF(L73="","",L73-TODAY())</f>
        <v/>
      </c>
      <c r="N73" s="33" t="n"/>
      <c r="O73" s="27">
        <f>IF(J73="Compro",22,0)</f>
        <v/>
      </c>
    </row>
    <row r="74" ht="21" customHeight="1">
      <c r="A74" s="29" t="n">
        <v>72</v>
      </c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1">
        <f>IF(L74="","",L74-TODAY())</f>
        <v/>
      </c>
      <c r="N74" s="30" t="n"/>
      <c r="O74" s="15">
        <f>IF(J74="Compro",22,0)</f>
        <v/>
      </c>
    </row>
    <row r="75" ht="21" customHeight="1">
      <c r="A75" s="32" t="n">
        <v>73</v>
      </c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>
        <f>IF(L75="","",L75-TODAY())</f>
        <v/>
      </c>
      <c r="N75" s="33" t="n"/>
      <c r="O75" s="27">
        <f>IF(J75="Compro",22,0)</f>
        <v/>
      </c>
    </row>
    <row r="76" ht="21" customHeight="1">
      <c r="A76" s="29" t="n">
        <v>74</v>
      </c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1">
        <f>IF(L76="","",L76-TODAY())</f>
        <v/>
      </c>
      <c r="N76" s="30" t="n"/>
      <c r="O76" s="15">
        <f>IF(J76="Compro",22,0)</f>
        <v/>
      </c>
    </row>
    <row r="77" ht="21" customHeight="1">
      <c r="A77" s="32" t="n">
        <v>75</v>
      </c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>
        <f>IF(L77="","",L77-TODAY())</f>
        <v/>
      </c>
      <c r="N77" s="33" t="n"/>
      <c r="O77" s="27">
        <f>IF(J77="Compro",22,0)</f>
        <v/>
      </c>
    </row>
    <row r="78" ht="21" customHeight="1">
      <c r="A78" s="29" t="n">
        <v>76</v>
      </c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1">
        <f>IF(L78="","",L78-TODAY())</f>
        <v/>
      </c>
      <c r="N78" s="30" t="n"/>
      <c r="O78" s="15">
        <f>IF(J78="Compro",22,0)</f>
        <v/>
      </c>
    </row>
    <row r="79" ht="21" customHeight="1">
      <c r="A79" s="32" t="n">
        <v>77</v>
      </c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>
        <f>IF(L79="","",L79-TODAY())</f>
        <v/>
      </c>
      <c r="N79" s="33" t="n"/>
      <c r="O79" s="27">
        <f>IF(J79="Compro",22,0)</f>
        <v/>
      </c>
    </row>
    <row r="80" ht="21" customHeight="1">
      <c r="A80" s="29" t="n">
        <v>78</v>
      </c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1">
        <f>IF(L80="","",L80-TODAY())</f>
        <v/>
      </c>
      <c r="N80" s="30" t="n"/>
      <c r="O80" s="15">
        <f>IF(J80="Compro",22,0)</f>
        <v/>
      </c>
    </row>
    <row r="81" ht="21" customHeight="1">
      <c r="A81" s="32" t="n">
        <v>79</v>
      </c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>
        <f>IF(L81="","",L81-TODAY())</f>
        <v/>
      </c>
      <c r="N81" s="33" t="n"/>
      <c r="O81" s="27">
        <f>IF(J81="Compro",22,0)</f>
        <v/>
      </c>
    </row>
    <row r="82" ht="21" customHeight="1">
      <c r="A82" s="29" t="n">
        <v>80</v>
      </c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1">
        <f>IF(L82="","",L82-TODAY())</f>
        <v/>
      </c>
      <c r="N82" s="30" t="n"/>
      <c r="O82" s="15">
        <f>IF(J82="Compro",22,0)</f>
        <v/>
      </c>
    </row>
    <row r="83" ht="21" customHeight="1">
      <c r="A83" s="32" t="n">
        <v>81</v>
      </c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>
        <f>IF(L83="","",L83-TODAY())</f>
        <v/>
      </c>
      <c r="N83" s="33" t="n"/>
      <c r="O83" s="27">
        <f>IF(J83="Compro",22,0)</f>
        <v/>
      </c>
    </row>
    <row r="84" ht="21" customHeight="1">
      <c r="A84" s="29" t="n">
        <v>82</v>
      </c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1">
        <f>IF(L84="","",L84-TODAY())</f>
        <v/>
      </c>
      <c r="N84" s="30" t="n"/>
      <c r="O84" s="15">
        <f>IF(J84="Compro",22,0)</f>
        <v/>
      </c>
    </row>
    <row r="85" ht="21" customHeight="1">
      <c r="A85" s="32" t="n">
        <v>83</v>
      </c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>
        <f>IF(L85="","",L85-TODAY())</f>
        <v/>
      </c>
      <c r="N85" s="33" t="n"/>
      <c r="O85" s="27">
        <f>IF(J85="Compro",22,0)</f>
        <v/>
      </c>
    </row>
    <row r="86" ht="21" customHeight="1">
      <c r="A86" s="29" t="n">
        <v>84</v>
      </c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1">
        <f>IF(L86="","",L86-TODAY())</f>
        <v/>
      </c>
      <c r="N86" s="30" t="n"/>
      <c r="O86" s="15">
        <f>IF(J86="Compro",22,0)</f>
        <v/>
      </c>
    </row>
    <row r="87" ht="21" customHeight="1">
      <c r="A87" s="32" t="n">
        <v>85</v>
      </c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>
        <f>IF(L87="","",L87-TODAY())</f>
        <v/>
      </c>
      <c r="N87" s="33" t="n"/>
      <c r="O87" s="27">
        <f>IF(J87="Compro",22,0)</f>
        <v/>
      </c>
    </row>
    <row r="88" ht="21" customHeight="1">
      <c r="A88" s="29" t="n">
        <v>86</v>
      </c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1">
        <f>IF(L88="","",L88-TODAY())</f>
        <v/>
      </c>
      <c r="N88" s="30" t="n"/>
      <c r="O88" s="15">
        <f>IF(J88="Compro",22,0)</f>
        <v/>
      </c>
    </row>
    <row r="89" ht="21" customHeight="1">
      <c r="A89" s="32" t="n">
        <v>87</v>
      </c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>
        <f>IF(L89="","",L89-TODAY())</f>
        <v/>
      </c>
      <c r="N89" s="33" t="n"/>
      <c r="O89" s="27">
        <f>IF(J89="Compro",22,0)</f>
        <v/>
      </c>
    </row>
    <row r="90" ht="21" customHeight="1">
      <c r="A90" s="29" t="n">
        <v>88</v>
      </c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1">
        <f>IF(L90="","",L90-TODAY())</f>
        <v/>
      </c>
      <c r="N90" s="30" t="n"/>
      <c r="O90" s="15">
        <f>IF(J90="Compro",22,0)</f>
        <v/>
      </c>
    </row>
    <row r="91" ht="21" customHeight="1">
      <c r="A91" s="32" t="n">
        <v>89</v>
      </c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>
        <f>IF(L91="","",L91-TODAY())</f>
        <v/>
      </c>
      <c r="N91" s="33" t="n"/>
      <c r="O91" s="27">
        <f>IF(J91="Compro",22,0)</f>
        <v/>
      </c>
    </row>
    <row r="92" ht="21" customHeight="1">
      <c r="A92" s="29" t="n">
        <v>90</v>
      </c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1">
        <f>IF(L92="","",L92-TODAY())</f>
        <v/>
      </c>
      <c r="N92" s="30" t="n"/>
      <c r="O92" s="15">
        <f>IF(J92="Compro",22,0)</f>
        <v/>
      </c>
    </row>
    <row r="93" ht="21" customHeight="1">
      <c r="A93" s="32" t="n">
        <v>91</v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>
        <f>IF(L93="","",L93-TODAY())</f>
        <v/>
      </c>
      <c r="N93" s="33" t="n"/>
      <c r="O93" s="27">
        <f>IF(J93="Compro",22,0)</f>
        <v/>
      </c>
    </row>
    <row r="94" ht="21" customHeight="1">
      <c r="A94" s="29" t="n">
        <v>92</v>
      </c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1">
        <f>IF(L94="","",L94-TODAY())</f>
        <v/>
      </c>
      <c r="N94" s="30" t="n"/>
      <c r="O94" s="15">
        <f>IF(J94="Compro",22,0)</f>
        <v/>
      </c>
    </row>
    <row r="95" ht="21" customHeight="1">
      <c r="A95" s="32" t="n">
        <v>93</v>
      </c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>
        <f>IF(L95="","",L95-TODAY())</f>
        <v/>
      </c>
      <c r="N95" s="33" t="n"/>
      <c r="O95" s="27">
        <f>IF(J95="Compro",22,0)</f>
        <v/>
      </c>
    </row>
    <row r="96" ht="21" customHeight="1">
      <c r="A96" s="29" t="n">
        <v>94</v>
      </c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1">
        <f>IF(L96="","",L96-TODAY())</f>
        <v/>
      </c>
      <c r="N96" s="30" t="n"/>
      <c r="O96" s="15">
        <f>IF(J96="Compro",22,0)</f>
        <v/>
      </c>
    </row>
    <row r="97" ht="21" customHeight="1">
      <c r="A97" s="32" t="n">
        <v>95</v>
      </c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>
        <f>IF(L97="","",L97-TODAY())</f>
        <v/>
      </c>
      <c r="N97" s="33" t="n"/>
      <c r="O97" s="27">
        <f>IF(J97="Compro",22,0)</f>
        <v/>
      </c>
    </row>
    <row r="98" ht="21" customHeight="1">
      <c r="A98" s="29" t="n">
        <v>96</v>
      </c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1">
        <f>IF(L98="","",L98-TODAY())</f>
        <v/>
      </c>
      <c r="N98" s="30" t="n"/>
      <c r="O98" s="15">
        <f>IF(J98="Compro",22,0)</f>
        <v/>
      </c>
    </row>
    <row r="99" ht="21" customHeight="1">
      <c r="A99" s="32" t="n">
        <v>97</v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>
        <f>IF(L99="","",L99-TODAY())</f>
        <v/>
      </c>
      <c r="N99" s="33" t="n"/>
      <c r="O99" s="27">
        <f>IF(J99="Compro",22,0)</f>
        <v/>
      </c>
    </row>
    <row r="100" ht="21" customHeight="1">
      <c r="A100" s="29" t="n">
        <v>98</v>
      </c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1">
        <f>IF(L100="","",L100-TODAY())</f>
        <v/>
      </c>
      <c r="N100" s="30" t="n"/>
      <c r="O100" s="15">
        <f>IF(J100="Compro",22,0)</f>
        <v/>
      </c>
    </row>
    <row r="101" ht="21" customHeight="1">
      <c r="A101" s="32" t="n">
        <v>99</v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>
        <f>IF(L101="","",L101-TODAY())</f>
        <v/>
      </c>
      <c r="N101" s="33" t="n"/>
      <c r="O101" s="27">
        <f>IF(J101="Compro",22,0)</f>
        <v/>
      </c>
    </row>
    <row r="102" ht="21" customHeight="1">
      <c r="A102" s="29" t="n">
        <v>100</v>
      </c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1">
        <f>IF(L102="","",L102-TODAY())</f>
        <v/>
      </c>
      <c r="N102" s="30" t="n"/>
      <c r="O102" s="15">
        <f>IF(J102="Compro",22,0)</f>
        <v/>
      </c>
    </row>
  </sheetData>
  <mergeCells count="1">
    <mergeCell ref="A1:O1"/>
  </mergeCells>
  <conditionalFormatting sqref="M3:M102">
    <cfRule type="expression" priority="1" dxfId="0">
      <formula>AND(M3&lt;&gt;"",M3&lt;=0)</formula>
    </cfRule>
    <cfRule type="expression" priority="2" dxfId="1">
      <formula>AND(M3&gt;0,M3&lt;=3)</formula>
    </cfRule>
    <cfRule type="expression" priority="3" dxfId="2">
      <formula>AND(M3&gt;3)</formula>
    </cfRule>
  </conditionalFormatting>
  <conditionalFormatting sqref="J3:J102">
    <cfRule type="expression" priority="4" dxfId="3">
      <formula>J3="Compro"</formula>
    </cfRule>
    <cfRule type="expression" priority="5" dxfId="4">
      <formula>J3="Caliente"</formula>
    </cfRule>
  </conditionalFormatting>
  <dataValidations count="5">
    <dataValidation sqref="C3:C102" showDropDown="0" showInputMessage="0" showErrorMessage="0" allowBlank="1" prompt="Selecciona tipo" type="list">
      <formula1>=Config!$A$2:$A$7</formula1>
    </dataValidation>
    <dataValidation sqref="D3:D102" showDropDown="0" showInputMessage="0" showErrorMessage="0" allowBlank="1" prompt="Selecciona barrio" type="list">
      <formula1>=Config!$B$2:$B$9</formula1>
    </dataValidation>
    <dataValidation sqref="J3:J102" showDropDown="0" showInputMessage="0" showErrorMessage="0" allowBlank="1" prompt="Selecciona estado" type="list">
      <formula1>=Config!$C$2:$C$7</formula1>
    </dataValidation>
    <dataValidation sqref="I3:I102" showDropDown="0" showInputMessage="0" showErrorMessage="0" allowBlank="1" prompt="Selecciona material" type="list">
      <formula1>=Config!$D$2:$D$6</formula1>
    </dataValidation>
    <dataValidation sqref="G3:G102" showDropDown="0" showInputMessage="0" showErrorMessage="0" allowBlank="1" prompt="Selecciona fuente" type="list">
      <formula1>=Config!$E$2:$E$6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800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" customWidth="1" min="3" max="3"/>
    <col width="22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1" ht="36" customHeight="1">
      <c r="A1" s="35" t="inlineStr">
        <is>
          <t>KanbanPro — Dashboard de Ventas</t>
        </is>
      </c>
    </row>
    <row r="3" ht="22" customHeight="1">
      <c r="A3" s="36" t="inlineStr">
        <is>
          <t>KPIs Generales</t>
        </is>
      </c>
    </row>
    <row r="4" ht="22" customHeight="1">
      <c r="A4" s="37" t="inlineStr">
        <is>
          <t>Total contactados</t>
        </is>
      </c>
      <c r="B4" s="38">
        <f>COUNTA(Prospectos!B3:B102)</f>
        <v/>
      </c>
    </row>
    <row r="5" ht="22" customHeight="1">
      <c r="A5" s="37" t="inlineStr">
        <is>
          <t>Respondieron</t>
        </is>
      </c>
      <c r="B5" s="38">
        <f>COUNTIF(Prospectos!J3:J102,"&lt;&gt;Frio")-COUNTIF(Prospectos!J3:J102,"Sin respuesta")</f>
        <v/>
      </c>
    </row>
    <row r="6" ht="22" customHeight="1">
      <c r="A6" s="37" t="inlineStr">
        <is>
          <t>Calientes</t>
        </is>
      </c>
      <c r="B6" s="39">
        <f>COUNTIF(Prospectos!J3:J102,"Caliente")</f>
        <v/>
      </c>
    </row>
    <row r="7" ht="22" customHeight="1">
      <c r="A7" s="37" t="inlineStr">
        <is>
          <t>Compraron</t>
        </is>
      </c>
      <c r="B7" s="40">
        <f>COUNTIF(Prospectos!J3:J102,"Compro")</f>
        <v/>
      </c>
    </row>
    <row r="8" ht="22" customHeight="1">
      <c r="A8" s="37" t="inlineStr">
        <is>
          <t>Tasa conversion %</t>
        </is>
      </c>
      <c r="B8" s="41">
        <f>IFERROR(COUNTIF(Prospectos!J3:J102,"Compro")/COUNTA(Prospectos!B3:B102),0)</f>
        <v/>
      </c>
    </row>
    <row r="9" ht="22" customHeight="1">
      <c r="A9" s="37" t="inlineStr">
        <is>
          <t>Tasa respuesta %</t>
        </is>
      </c>
      <c r="B9" s="42">
        <f>IFERROR((COUNTA(Prospectos!J3:J102)-COUNTIF(Prospectos!J3:J102,"Frio")-COUNTIF(Prospectos!J3:J102,"Sin respuesta"))/COUNTA(Prospectos!B3:B102),0)</f>
        <v/>
      </c>
    </row>
    <row r="10" ht="22" customHeight="1">
      <c r="A10" s="37" t="inlineStr">
        <is>
          <t>Ingresos totales USD</t>
        </is>
      </c>
      <c r="B10" s="43">
        <f>SUMIF(Prospectos!J3:J102,"Compro",Prospectos!O3:O102)</f>
        <v/>
      </c>
    </row>
    <row r="11" ht="22" customHeight="1">
      <c r="A11" s="37" t="inlineStr">
        <is>
          <t>Proyeccion mensual (x4.3 sem)</t>
        </is>
      </c>
      <c r="B11" s="44">
        <f>IFERROR(B9*4.3,0)</f>
        <v/>
      </c>
    </row>
    <row r="13" ht="22" customHeight="1">
      <c r="A13" s="45" t="inlineStr">
        <is>
          <t>Conversion por Tipo de Negocio</t>
        </is>
      </c>
      <c r="D13" s="45" t="inlineStr">
        <is>
          <t>Conversion por Barrio</t>
        </is>
      </c>
    </row>
    <row r="14">
      <c r="A14" s="3" t="inlineStr">
        <is>
          <t>Tipo</t>
        </is>
      </c>
      <c r="B14" s="3" t="inlineStr">
        <is>
          <t>Contactados</t>
        </is>
      </c>
      <c r="D14" s="3" t="inlineStr">
        <is>
          <t>Barrio</t>
        </is>
      </c>
      <c r="E14" s="3" t="inlineStr">
        <is>
          <t>Contactados</t>
        </is>
      </c>
    </row>
    <row r="15">
      <c r="A15" s="46" t="inlineStr">
        <is>
          <t>Gym</t>
        </is>
      </c>
      <c r="B15" s="47">
        <f>COUNTIF(Prospectos!C3:C102,A15)</f>
        <v/>
      </c>
      <c r="D15" s="46" t="inlineStr">
        <is>
          <t>Chapinero</t>
        </is>
      </c>
      <c r="E15" s="48">
        <f>COUNTIF(Prospectos!D3:D102,D15)</f>
        <v/>
      </c>
    </row>
    <row r="16">
      <c r="A16" s="49" t="inlineStr">
        <is>
          <t>Restaurante</t>
        </is>
      </c>
      <c r="B16" s="50">
        <f>COUNTIF(Prospectos!C3:C102,A16)</f>
        <v/>
      </c>
      <c r="D16" s="49" t="inlineStr">
        <is>
          <t>Usaquen</t>
        </is>
      </c>
      <c r="E16" s="51">
        <f>COUNTIF(Prospectos!D3:D102,D16)</f>
        <v/>
      </c>
    </row>
    <row r="17">
      <c r="A17" s="46" t="inlineStr">
        <is>
          <t>Clinica</t>
        </is>
      </c>
      <c r="B17" s="47">
        <f>COUNTIF(Prospectos!C3:C102,A17)</f>
        <v/>
      </c>
      <c r="D17" s="46" t="inlineStr">
        <is>
          <t>Suba</t>
        </is>
      </c>
      <c r="E17" s="48">
        <f>COUNTIF(Prospectos!D3:D102,D17)</f>
        <v/>
      </c>
    </row>
    <row r="18">
      <c r="A18" s="49" t="inlineStr">
        <is>
          <t>Spa</t>
        </is>
      </c>
      <c r="B18" s="50">
        <f>COUNTIF(Prospectos!C3:C102,A18)</f>
        <v/>
      </c>
      <c r="D18" s="49" t="inlineStr">
        <is>
          <t>Engativa</t>
        </is>
      </c>
      <c r="E18" s="51">
        <f>COUNTIF(Prospectos!D3:D102,D18)</f>
        <v/>
      </c>
    </row>
    <row r="19">
      <c r="A19" s="46" t="inlineStr">
        <is>
          <t>Academia</t>
        </is>
      </c>
      <c r="B19" s="47">
        <f>COUNTIF(Prospectos!C3:C102,A19)</f>
        <v/>
      </c>
      <c r="D19" s="46" t="inlineStr">
        <is>
          <t>Kennedy</t>
        </is>
      </c>
      <c r="E19" s="48">
        <f>COUNTIF(Prospectos!D3:D102,D19)</f>
        <v/>
      </c>
    </row>
    <row r="20">
      <c r="A20" s="49" t="inlineStr">
        <is>
          <t>Otro</t>
        </is>
      </c>
      <c r="B20" s="50">
        <f>COUNTIF(Prospectos!C3:C102,A20)</f>
        <v/>
      </c>
      <c r="D20" s="49" t="inlineStr">
        <is>
          <t>Santa Fe</t>
        </is>
      </c>
      <c r="E20" s="51">
        <f>COUNTIF(Prospectos!D3:D102,D20)</f>
        <v/>
      </c>
    </row>
    <row r="21">
      <c r="D21" s="46" t="inlineStr">
        <is>
          <t>Teusaquillo</t>
        </is>
      </c>
      <c r="E21" s="48">
        <f>COUNTIF(Prospectos!D3:D102,D21)</f>
        <v/>
      </c>
    </row>
    <row r="22">
      <c r="D22" s="49" t="inlineStr">
        <is>
          <t>Otro</t>
        </is>
      </c>
      <c r="E22" s="51">
        <f>COUNTIF(Prospectos!D3:D102,D22)</f>
        <v/>
      </c>
    </row>
    <row r="23" ht="22" customHeight="1">
      <c r="A23" s="52" t="inlineStr">
        <is>
          <t>Meta Semanal — 28 contactos / semana</t>
        </is>
      </c>
    </row>
    <row r="24">
      <c r="A24" s="37" t="inlineStr">
        <is>
          <t>Contactos esta semana</t>
        </is>
      </c>
      <c r="B24" s="53">
        <f>COUNTIFS(Prospectos!H3:H102,"&gt;="&amp;(TODAY()-WEEKDAY(TODAY(),2)+1),Prospectos!H3:H102,"&lt;="&amp;(TODAY()-WEEKDAY(TODAY(),2)+7))</f>
        <v/>
      </c>
    </row>
    <row r="25">
      <c r="A25" s="54" t="inlineStr">
        <is>
          <t>Meta semanal</t>
        </is>
      </c>
      <c r="B25" s="55" t="n">
        <v>28</v>
      </c>
    </row>
    <row r="26">
      <c r="A26" s="37" t="inlineStr">
        <is>
          <t>Cumplimiento %</t>
        </is>
      </c>
      <c r="B26" s="56">
        <f>IFERROR(B24/B25,0)</f>
        <v/>
      </c>
    </row>
    <row r="27">
      <c r="A27" s="54" t="inlineStr">
        <is>
          <t>Ventas necesarias/sem para 10 USD/mes</t>
        </is>
      </c>
      <c r="B27" s="55">
        <f>IFERROR(CEILING(10/22,1),"")</f>
        <v/>
      </c>
    </row>
    <row r="30">
      <c r="A30" s="57" t="inlineStr">
        <is>
          <t>USO: Actualiza la hoja Prospectos. Este dashboard recalcula automaticamente.</t>
        </is>
      </c>
    </row>
  </sheetData>
  <mergeCells count="6">
    <mergeCell ref="A3:H3"/>
    <mergeCell ref="A30:H30"/>
    <mergeCell ref="D13:E13"/>
    <mergeCell ref="A13:B13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2026-03-11T02:41:11Z</dcterms:created>
  <dcterms:modified xmlns:dcterms="http://purl.org/dc/terms/" xmlns:xsi="http://www.w3.org/2001/XMLSchema-instance" xsi:type="dcterms:W3CDTF">2026-03-11T02:41:12Z</dcterms:modified>
</cp:coreProperties>
</file>